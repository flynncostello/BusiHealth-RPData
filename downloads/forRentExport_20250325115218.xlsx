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5" Target="../media/image5.jpeg" Type="http://schemas.openxmlformats.org/officeDocument/2006/relationships/image"/><Relationship Id="rId4" Target="../media/image4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9" Target="../media/image9.jpeg" Type="http://schemas.openxmlformats.org/officeDocument/2006/relationships/image"/><Relationship Id="rId8" Target="../media/image8.jpeg" Type="http://schemas.openxmlformats.org/officeDocument/2006/relationships/image"/><Relationship Id="rId10" Target="../media/image10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11</xdr:row>
      <xdr:rowOff>0</xdr:rowOff>
    </xdr:from>
    <xdr:to>
      <xdr:col>0</xdr:col>
      <xdr:colOff>1116000</xdr:colOff>
      <xdr:row>11</xdr:row>
      <xdr:rowOff>761999</xdr:rowOff>
    </xdr:to>
    <xdr:pic>
      <xdr:nvPicPr>
        <xdr:cNvPr id="5" name="Picture 5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0</xdr:col>
      <xdr:colOff>1116000</xdr:colOff>
      <xdr:row>10</xdr:row>
      <xdr:rowOff>761999</xdr:rowOff>
    </xdr:to>
    <xdr:pic>
      <xdr:nvPicPr>
        <xdr:cNvPr id="4" name="Picture 4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</xdr:row>
      <xdr:rowOff>0</xdr:rowOff>
    </xdr:from>
    <xdr:to>
      <xdr:col>0</xdr:col>
      <xdr:colOff>1116000</xdr:colOff>
      <xdr:row>12</xdr:row>
      <xdr:rowOff>761999</xdr:rowOff>
    </xdr:to>
    <xdr:pic>
      <xdr:nvPicPr>
        <xdr:cNvPr id="6" name="Picture 6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0</xdr:col>
      <xdr:colOff>1116000</xdr:colOff>
      <xdr:row>13</xdr:row>
      <xdr:rowOff>761999</xdr:rowOff>
    </xdr:to>
    <xdr:pic>
      <xdr:nvPicPr>
        <xdr:cNvPr id="7" name="Picture 7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0</xdr:col>
      <xdr:colOff>1116000</xdr:colOff>
      <xdr:row>15</xdr:row>
      <xdr:rowOff>761999</xdr:rowOff>
    </xdr:to>
    <xdr:pic>
      <xdr:nvPicPr>
        <xdr:cNvPr id="9" name="Picture 9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0</xdr:col>
      <xdr:colOff>1116000</xdr:colOff>
      <xdr:row>14</xdr:row>
      <xdr:rowOff>761999</xdr:rowOff>
    </xdr:to>
    <xdr:pic>
      <xdr:nvPicPr>
        <xdr:cNvPr id="8" name="Picture 8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0</xdr:col>
      <xdr:colOff>1116000</xdr:colOff>
      <xdr:row>16</xdr:row>
      <xdr:rowOff>761999</xdr:rowOff>
    </xdr:to>
    <xdr:pic>
      <xdr:nvPicPr>
        <xdr:cNvPr id="10" name="Picture 10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Rental Date</t>
        </is>
      </c>
      <c r="B5" t="inlineStr">
        <is>
          <t>25 Dec 2024 - 25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First Rental Price</t>
        </is>
      </c>
      <c r="N7" t="inlineStr" s="13">
        <is>
          <t>First Rental Date</t>
        </is>
      </c>
      <c r="O7" t="inlineStr" s="13">
        <is>
          <t>Last Rental Price</t>
        </is>
      </c>
      <c r="P7" t="inlineStr" s="13">
        <is>
          <t>Last Rental Date</t>
        </is>
      </c>
      <c r="Q7" t="inlineStr" s="13">
        <is>
          <t>Days on Market</t>
        </is>
      </c>
      <c r="R7" t="inlineStr" s="13">
        <is>
          <t>Agency</t>
        </is>
      </c>
      <c r="S7" t="inlineStr" s="13">
        <is>
          <t>Agent</t>
        </is>
      </c>
      <c r="T7" t="inlineStr" s="13">
        <is>
          <t>Active Listing</t>
        </is>
      </c>
      <c r="U7" t="inlineStr" s="13">
        <is>
          <t>Land Use</t>
        </is>
      </c>
      <c r="V7" t="inlineStr" s="13">
        <is>
          <t>Development Zone</t>
        </is>
      </c>
      <c r="W7" t="inlineStr" s="13">
        <is>
          <t>Parcel Details</t>
        </is>
      </c>
      <c r="X7" t="inlineStr" s="13">
        <is>
          <t>Owner Type</t>
        </is>
      </c>
      <c r="Y7" t="inlineStr" s="13">
        <is>
          <t>Open in RPData</t>
        </is>
      </c>
    </row>
    <row r="8" ht="60" customHeight="true">
      <c r="B8" t="inlineStr">
        <is>
          <t>GROUND FLOOR/23 WILLOUGHBY ROAD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278</v>
      </c>
      <c r="K8" s="10">
        <v>145</v>
      </c>
      <c r="L8" t="inlineStr">
        <is>
          <t>-</t>
        </is>
      </c>
      <c r="M8" t="inlineStr">
        <is>
          <t>Not Disclosed</t>
        </is>
      </c>
      <c r="N8" t="inlineStr">
        <is>
          <t>23 Aug 2024</t>
        </is>
      </c>
      <c r="O8" t="inlineStr">
        <is>
          <t>Not Disclosed</t>
        </is>
      </c>
      <c r="P8" t="inlineStr">
        <is>
          <t>24 Mar 2025</t>
        </is>
      </c>
      <c r="Q8">
        <v>102</v>
      </c>
      <c r="R8" t="inlineStr">
        <is>
          <t>RWC Sydney North</t>
        </is>
      </c>
      <c r="S8" t="inlineStr">
        <is>
          <t>Max Stephens</t>
        </is>
      </c>
      <c r="T8" t="inlineStr">
        <is>
          <t>False</t>
        </is>
      </c>
      <c r="U8" t="inlineStr">
        <is>
          <t>-</t>
        </is>
      </c>
      <c r="V8" t="inlineStr">
        <is>
          <t>Business</t>
        </is>
      </c>
      <c r="W8" t="inlineStr">
        <is>
          <t>3/DP24071</t>
        </is>
      </c>
      <c r="X8" t="inlineStr">
        <is>
          <t>-</t>
        </is>
      </c>
      <c r="Y8" t="inlineStr">
        <f>HYPERLINK("https://rpp.corelogic.com.au/property/ground-floor-23-willoughby-road-crows-nest-nsw-2065/2026657")</f>
        <v>https://rpp.corelogic.com.au/property/ground-floor-23-willoughby-road-crows-nest-nsw-2065/2026657</v>
      </c>
    </row>
    <row r="9" ht="60" customHeight="true">
      <c r="B9" t="inlineStr">
        <is>
          <t>60-62 WILLOUGHBY ROAD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Commercial: Office Building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307</v>
      </c>
      <c r="K9" s="10">
        <v>565</v>
      </c>
      <c r="L9" t="inlineStr">
        <is>
          <t>-</t>
        </is>
      </c>
      <c r="M9" t="inlineStr">
        <is>
          <t>Not Disclosed</t>
        </is>
      </c>
      <c r="N9" t="inlineStr">
        <is>
          <t>12 Dec 2024</t>
        </is>
      </c>
      <c r="O9" t="inlineStr">
        <is>
          <t>Not Disclosed</t>
        </is>
      </c>
      <c r="P9" t="inlineStr">
        <is>
          <t>21 Mar 2025</t>
        </is>
      </c>
      <c r="Q9">
        <v>103</v>
      </c>
      <c r="R9" t="inlineStr">
        <is>
          <t>RWC Sydney North</t>
        </is>
      </c>
      <c r="S9" t="inlineStr">
        <is>
          <t>Max Stephens</t>
        </is>
      </c>
      <c r="T9" t="inlineStr">
        <is>
          <t>True</t>
        </is>
      </c>
      <c r="U9" t="inlineStr">
        <is>
          <t>-</t>
        </is>
      </c>
      <c r="V9" t="inlineStr">
        <is>
          <t>Mixed Residential/Commercial</t>
        </is>
      </c>
      <c r="W9" t="inlineStr">
        <is>
          <t>3/4/DP2872</t>
        </is>
      </c>
      <c r="X9" t="inlineStr">
        <is>
          <t>-</t>
        </is>
      </c>
      <c r="Y9" t="inlineStr">
        <f>HYPERLINK("https://rpp.corelogic.com.au/property/60-62-willoughby-road-crows-nest-nsw-2065/2026686")</f>
        <v>https://rpp.corelogic.com.au/property/60-62-willoughby-road-crows-nest-nsw-2065/2026686</v>
      </c>
    </row>
    <row r="10" ht="60" customHeight="true">
      <c r="B10" t="inlineStr">
        <is>
          <t>12 FALCON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10">
        <v>163</v>
      </c>
      <c r="K10" s="10">
        <v>285</v>
      </c>
      <c r="L10" t="inlineStr">
        <is>
          <t>-</t>
        </is>
      </c>
      <c r="M10" t="inlineStr">
        <is>
          <t>Not Disclosed</t>
        </is>
      </c>
      <c r="N10" t="inlineStr">
        <is>
          <t>21 Jan 2025</t>
        </is>
      </c>
      <c r="O10" t="inlineStr">
        <is>
          <t>Not Disclosed</t>
        </is>
      </c>
      <c r="P10" t="inlineStr">
        <is>
          <t>17 Mar 2025</t>
        </is>
      </c>
      <c r="Q10">
        <v>63</v>
      </c>
      <c r="R10" t="inlineStr">
        <is>
          <t>Sheads</t>
        </is>
      </c>
      <c r="S10" t="inlineStr">
        <is>
          <t>Linus Lifson</t>
        </is>
      </c>
      <c r="T10" t="inlineStr">
        <is>
          <t>True</t>
        </is>
      </c>
      <c r="U10" t="inlineStr">
        <is>
          <t>-</t>
        </is>
      </c>
      <c r="V10" t="inlineStr">
        <is>
          <t>Residential</t>
        </is>
      </c>
      <c r="W10" t="inlineStr">
        <is>
          <t>LOTS 1-2 DP222176</t>
        </is>
      </c>
      <c r="X10" t="inlineStr">
        <is>
          <t>-</t>
        </is>
      </c>
      <c r="Y10" t="inlineStr">
        <f>HYPERLINK("https://rpp.corelogic.com.au/property/12-falcon-street-crows-nest-nsw-2065/2025193")</f>
        <v>https://rpp.corelogic.com.au/property/12-falcon-street-crows-nest-nsw-2065/2025193</v>
      </c>
    </row>
    <row r="11" ht="60" customHeight="true">
      <c r="B11" t="inlineStr">
        <is>
          <t>4 CLARKE STREET </t>
        </is>
      </c>
      <c r="C11" t="inlineStr">
        <is>
          <t>CROWS NEST</t>
        </is>
      </c>
      <c r="D11" t="inlineStr">
        <is>
          <t>NSW</t>
        </is>
      </c>
      <c r="E11" s="11">
        <v>2065</v>
      </c>
      <c r="F11" t="inlineStr">
        <is>
          <t>Commercial: Office Building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10">
        <v>669</v>
      </c>
      <c r="K11" s="10">
        <v>61</v>
      </c>
      <c r="L11" t="inlineStr">
        <is>
          <t>-</t>
        </is>
      </c>
      <c r="M11" t="inlineStr">
        <is>
          <t>$10,000</t>
        </is>
      </c>
      <c r="N11" t="inlineStr">
        <is>
          <t>11 Mar 2025</t>
        </is>
      </c>
      <c r="O11" t="inlineStr">
        <is>
          <t>$10,000/Weekly</t>
        </is>
      </c>
      <c r="P11" t="inlineStr">
        <is>
          <t>11 Mar 2025</t>
        </is>
      </c>
      <c r="Q11">
        <v>14</v>
      </c>
      <c r="R11" t="inlineStr">
        <is>
          <t>X Commercial North Sydney</t>
        </is>
      </c>
      <c r="S11" t="inlineStr">
        <is>
          <t>Henry Corlett</t>
        </is>
      </c>
      <c r="T11" t="inlineStr">
        <is>
          <t>True</t>
        </is>
      </c>
      <c r="U11" t="inlineStr">
        <is>
          <t>-</t>
        </is>
      </c>
      <c r="V11" t="inlineStr">
        <is>
          <t>Business</t>
        </is>
      </c>
      <c r="W11" t="inlineStr">
        <is>
          <t>LOTS 1-2 DP901161</t>
        </is>
      </c>
      <c r="X11" t="inlineStr">
        <is>
          <t>-</t>
        </is>
      </c>
      <c r="Y11" t="inlineStr">
        <f>HYPERLINK("https://rpp.corelogic.com.au/property/4-clarke-street-crows-nest-nsw-2065/2024650")</f>
        <v>https://rpp.corelogic.com.au/property/4-clarke-street-crows-nest-nsw-2065/2024650</v>
      </c>
    </row>
    <row r="12" ht="60" customHeight="true">
      <c r="B12" t="inlineStr">
        <is>
          <t>3/20 CLARKE STREET </t>
        </is>
      </c>
      <c r="C12" t="inlineStr">
        <is>
          <t>CROWS NEST</t>
        </is>
      </c>
      <c r="D12" t="inlineStr">
        <is>
          <t>NSW</t>
        </is>
      </c>
      <c r="E12" s="11">
        <v>2065</v>
      </c>
      <c r="F12" t="inlineStr">
        <is>
          <t>Commercial: Office Building</t>
        </is>
      </c>
      <c r="G12" t="inlineStr">
        <is>
          <t>-</t>
        </is>
      </c>
      <c r="H12" t="inlineStr">
        <is>
          <t>-</t>
        </is>
      </c>
      <c r="I12">
        <v>6</v>
      </c>
      <c r="J12" s="10">
        <v>1465</v>
      </c>
      <c r="K12" s="10">
        <v>460</v>
      </c>
      <c r="L12" t="inlineStr">
        <is>
          <t>-</t>
        </is>
      </c>
      <c r="M12" t="inlineStr">
        <is>
          <t>$350</t>
        </is>
      </c>
      <c r="N12" t="inlineStr">
        <is>
          <t>10 Mar 2025</t>
        </is>
      </c>
      <c r="O12" t="inlineStr">
        <is>
          <t>$350/Annually</t>
        </is>
      </c>
      <c r="P12" t="inlineStr">
        <is>
          <t>10 Mar 2025</t>
        </is>
      </c>
      <c r="Q12">
        <v>15</v>
      </c>
      <c r="R12" t="inlineStr">
        <is>
          <t>Office Hub Pty Limited</t>
        </is>
      </c>
      <c r="S12" t="inlineStr">
        <is>
          <t>-</t>
        </is>
      </c>
      <c r="T12" t="inlineStr">
        <is>
          <t>True</t>
        </is>
      </c>
      <c r="U12" t="inlineStr">
        <is>
          <t>-</t>
        </is>
      </c>
      <c r="V12" t="inlineStr">
        <is>
          <t>Business</t>
        </is>
      </c>
      <c r="W12" t="inlineStr">
        <is>
          <t>3/SP52547</t>
        </is>
      </c>
      <c r="X12" t="inlineStr">
        <is>
          <t>-</t>
        </is>
      </c>
      <c r="Y12" t="inlineStr">
        <f>HYPERLINK("https://rpp.corelogic.com.au/property/3-20-clarke-street-crows-nest-nsw-2065/2024731")</f>
        <v>https://rpp.corelogic.com.au/property/3-20-clarke-street-crows-nest-nsw-2065/2024731</v>
      </c>
    </row>
    <row r="13" ht="60" customHeight="true">
      <c r="B13" t="inlineStr">
        <is>
          <t>376 PACIFIC HIGHWAY </t>
        </is>
      </c>
      <c r="C13" t="inlineStr">
        <is>
          <t>CROWS NEST</t>
        </is>
      </c>
      <c r="D13" t="inlineStr">
        <is>
          <t>NSW</t>
        </is>
      </c>
      <c r="E13" s="11">
        <v>2065</v>
      </c>
      <c r="F13" t="inlineStr">
        <is>
          <t>Commercial: Retail Building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10">
        <v>148</v>
      </c>
      <c r="K13" s="10">
        <v>80</v>
      </c>
      <c r="L13" t="inlineStr">
        <is>
          <t>-</t>
        </is>
      </c>
      <c r="M13" t="inlineStr">
        <is>
          <t>Not Disclosed</t>
        </is>
      </c>
      <c r="N13" t="inlineStr">
        <is>
          <t>19 Nov 2024</t>
        </is>
      </c>
      <c r="O13" t="inlineStr">
        <is>
          <t>Not Disclosed</t>
        </is>
      </c>
      <c r="P13" t="inlineStr">
        <is>
          <t>12 Feb 2025</t>
        </is>
      </c>
      <c r="Q13">
        <v>126</v>
      </c>
      <c r="R13" t="inlineStr">
        <is>
          <t>Sheads</t>
        </is>
      </c>
      <c r="S13" t="inlineStr">
        <is>
          <t>Bill Geroulis</t>
        </is>
      </c>
      <c r="T13" t="inlineStr">
        <is>
          <t>True</t>
        </is>
      </c>
      <c r="U13" t="inlineStr">
        <is>
          <t>-</t>
        </is>
      </c>
      <c r="V13" t="inlineStr">
        <is>
          <t>Business</t>
        </is>
      </c>
      <c r="W13" t="inlineStr">
        <is>
          <t>1/DP222601</t>
        </is>
      </c>
      <c r="X13" t="inlineStr">
        <is>
          <t>-</t>
        </is>
      </c>
      <c r="Y13" t="inlineStr">
        <f>HYPERLINK("https://rpp.corelogic.com.au/property/376-pacific-highway-crows-nest-nsw-2065/2026129")</f>
        <v>https://rpp.corelogic.com.au/property/376-pacific-highway-crows-nest-nsw-2065/2026129</v>
      </c>
    </row>
    <row r="14" ht="60" customHeight="true">
      <c r="B14" t="inlineStr">
        <is>
          <t>108 ALEXANDER STREET </t>
        </is>
      </c>
      <c r="C14" t="inlineStr">
        <is>
          <t>CROWS NEST</t>
        </is>
      </c>
      <c r="D14" t="inlineStr">
        <is>
          <t>NSW</t>
        </is>
      </c>
      <c r="E14" s="11">
        <v>2065</v>
      </c>
      <c r="F14" t="inlineStr">
        <is>
          <t>Commercial: Office Building</t>
        </is>
      </c>
      <c r="G14" t="inlineStr">
        <is>
          <t>-</t>
        </is>
      </c>
      <c r="H14" t="inlineStr">
        <is>
          <t>-</t>
        </is>
      </c>
      <c r="I14">
        <v>4</v>
      </c>
      <c r="J14" s="10">
        <v>234</v>
      </c>
      <c r="K14" s="10">
        <v>350</v>
      </c>
      <c r="L14" t="inlineStr">
        <is>
          <t>-</t>
        </is>
      </c>
      <c r="M14" t="inlineStr">
        <is>
          <t>Not Disclosed</t>
        </is>
      </c>
      <c r="N14" t="inlineStr">
        <is>
          <t>28 Jan 2025</t>
        </is>
      </c>
      <c r="O14" t="inlineStr">
        <is>
          <t>Not Disclosed</t>
        </is>
      </c>
      <c r="P14" t="inlineStr">
        <is>
          <t>28 Jan 2025</t>
        </is>
      </c>
      <c r="Q14">
        <v>56</v>
      </c>
      <c r="R14" t="inlineStr">
        <is>
          <t>Lowry Property Group</t>
        </is>
      </c>
      <c r="S14" t="inlineStr">
        <is>
          <t>Nick Lowry</t>
        </is>
      </c>
      <c r="T14" t="inlineStr">
        <is>
          <t>True</t>
        </is>
      </c>
      <c r="U14" t="inlineStr">
        <is>
          <t>-</t>
        </is>
      </c>
      <c r="V14" t="inlineStr">
        <is>
          <t>Non Urban</t>
        </is>
      </c>
      <c r="W14" t="inlineStr">
        <is>
          <t>1/DP712812</t>
        </is>
      </c>
      <c r="X14" t="inlineStr">
        <is>
          <t>-</t>
        </is>
      </c>
      <c r="Y14" t="inlineStr">
        <f>HYPERLINK("https://rpp.corelogic.com.au/property/108-alexander-street-crows-nest-nsw-2065/2024184")</f>
        <v>https://rpp.corelogic.com.au/property/108-alexander-street-crows-nest-nsw-2065/2024184</v>
      </c>
    </row>
    <row r="15" ht="60" customHeight="true">
      <c r="B15" t="inlineStr">
        <is>
          <t>437 PACIFIC HIGHWAY </t>
        </is>
      </c>
      <c r="C15" t="inlineStr">
        <is>
          <t>CROWS NEST</t>
        </is>
      </c>
      <c r="D15" t="inlineStr">
        <is>
          <t>NSW</t>
        </is>
      </c>
      <c r="E15" s="11">
        <v>2065</v>
      </c>
      <c r="F15" t="inlineStr">
        <is>
          <t>Commercial: Retail Building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10">
        <v>462</v>
      </c>
      <c r="K15" s="10">
        <v>139</v>
      </c>
      <c r="L15" t="inlineStr">
        <is>
          <t>-</t>
        </is>
      </c>
      <c r="M15" t="inlineStr">
        <is>
          <t>Not Disclosed</t>
        </is>
      </c>
      <c r="N15" t="inlineStr">
        <is>
          <t>19 Nov 2024</t>
        </is>
      </c>
      <c r="O15" t="inlineStr">
        <is>
          <t>Not Disclosed</t>
        </is>
      </c>
      <c r="P15" t="inlineStr">
        <is>
          <t>17 Jan 2025</t>
        </is>
      </c>
      <c r="Q15">
        <v>126</v>
      </c>
      <c r="R15" t="inlineStr">
        <is>
          <t>Sheads</t>
        </is>
      </c>
      <c r="S15" t="inlineStr">
        <is>
          <t>Ivor (Shu) Zhou</t>
        </is>
      </c>
      <c r="T15" t="inlineStr">
        <is>
          <t>True</t>
        </is>
      </c>
      <c r="U15" t="inlineStr">
        <is>
          <t>-</t>
        </is>
      </c>
      <c r="V15" t="inlineStr">
        <is>
          <t>Business</t>
        </is>
      </c>
      <c r="W15" t="inlineStr">
        <is>
          <t>LOTS 1-3 DP1079490</t>
        </is>
      </c>
      <c r="X15" t="inlineStr">
        <is>
          <t>-</t>
        </is>
      </c>
      <c r="Y15" t="inlineStr">
        <f>HYPERLINK("https://rpp.corelogic.com.au/property/437-pacific-highway-crows-nest-nsw-2065/2026231")</f>
        <v>https://rpp.corelogic.com.au/property/437-pacific-highway-crows-nest-nsw-2065/2026231</v>
      </c>
    </row>
    <row r="16" ht="60" customHeight="true">
      <c r="B16" t="inlineStr">
        <is>
          <t>20 BURLINGTON STREET </t>
        </is>
      </c>
      <c r="C16" t="inlineStr">
        <is>
          <t>CROWS NEST</t>
        </is>
      </c>
      <c r="D16" t="inlineStr">
        <is>
          <t>NSW</t>
        </is>
      </c>
      <c r="E16" s="11">
        <v>2065</v>
      </c>
      <c r="F16" t="inlineStr">
        <is>
          <t>Commercial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10">
        <v>413</v>
      </c>
      <c r="K16" s="10">
        <v>130</v>
      </c>
      <c r="L16" t="inlineStr">
        <is>
          <t>-</t>
        </is>
      </c>
      <c r="M16" t="inlineStr">
        <is>
          <t>Not Disclosed</t>
        </is>
      </c>
      <c r="N16" t="inlineStr">
        <is>
          <t>02 Sep 2024</t>
        </is>
      </c>
      <c r="O16" t="inlineStr">
        <is>
          <t>Not Disclosed</t>
        </is>
      </c>
      <c r="P16" t="inlineStr">
        <is>
          <t>07 Jan 2025</t>
        </is>
      </c>
      <c r="Q16">
        <v>115</v>
      </c>
      <c r="R16" t="inlineStr">
        <is>
          <t>Lowry Property Group</t>
        </is>
      </c>
      <c r="S16" t="inlineStr">
        <is>
          <t>Nick Lowry</t>
        </is>
      </c>
      <c r="T16" t="inlineStr">
        <is>
          <t>False</t>
        </is>
      </c>
      <c r="U16" t="inlineStr">
        <is>
          <t>-</t>
        </is>
      </c>
      <c r="V16" t="inlineStr">
        <is>
          <t>Business</t>
        </is>
      </c>
      <c r="W16" t="inlineStr">
        <is>
          <t>18/5/DP1265</t>
        </is>
      </c>
      <c r="X16" t="inlineStr">
        <is>
          <t>-</t>
        </is>
      </c>
      <c r="Y16" t="inlineStr">
        <f>HYPERLINK("https://rpp.corelogic.com.au/property/20-burlington-street-crows-nest-nsw-2065/2024025")</f>
        <v>https://rpp.corelogic.com.au/property/20-burlington-street-crows-nest-nsw-2065/2024025</v>
      </c>
    </row>
    <row r="17" ht="60" customHeight="true">
      <c r="B17" t="inlineStr">
        <is>
          <t>1/24-26 FALCON STREET </t>
        </is>
      </c>
      <c r="C17" t="inlineStr">
        <is>
          <t>CROWS NEST</t>
        </is>
      </c>
      <c r="D17" t="inlineStr">
        <is>
          <t>NSW</t>
        </is>
      </c>
      <c r="E17" s="11">
        <v>2065</v>
      </c>
      <c r="F17" t="inlineStr">
        <is>
          <t>Commercial: Office Building</t>
        </is>
      </c>
      <c r="G17" t="inlineStr">
        <is>
          <t>-</t>
        </is>
      </c>
      <c r="H17" t="inlineStr">
        <is>
          <t>-</t>
        </is>
      </c>
      <c r="I17">
        <v>4</v>
      </c>
      <c r="J17" s="10">
        <v>757</v>
      </c>
      <c r="K17" s="10">
        <v>43</v>
      </c>
      <c r="L17" t="inlineStr">
        <is>
          <t>-</t>
        </is>
      </c>
      <c r="M17" t="inlineStr">
        <is>
          <t>$499</t>
        </is>
      </c>
      <c r="N17" t="inlineStr">
        <is>
          <t>29 Jul 2024</t>
        </is>
      </c>
      <c r="O17" t="inlineStr">
        <is>
          <t>$425/Annually</t>
        </is>
      </c>
      <c r="P17" t="inlineStr">
        <is>
          <t>06 Jan 2025</t>
        </is>
      </c>
      <c r="Q17">
        <v>237</v>
      </c>
      <c r="R17" t="inlineStr">
        <is>
          <t>No Agent Property</t>
        </is>
      </c>
      <c r="S17" t="inlineStr">
        <is>
          <t>No Agent Property - NSW</t>
        </is>
      </c>
      <c r="T17" t="inlineStr">
        <is>
          <t>False</t>
        </is>
      </c>
      <c r="U17" t="inlineStr">
        <is>
          <t>-</t>
        </is>
      </c>
      <c r="V17" t="inlineStr">
        <is>
          <t>Business</t>
        </is>
      </c>
      <c r="W17" t="inlineStr">
        <is>
          <t>1/SP32267</t>
        </is>
      </c>
      <c r="X17" t="inlineStr">
        <is>
          <t>-</t>
        </is>
      </c>
      <c r="Y17" t="inlineStr">
        <f>HYPERLINK("https://rpp.corelogic.com.au/property/1-24-26-falcon-street-crows-nest-nsw-2065/2025204")</f>
        <v>https://rpp.corelogic.com.au/property/1-24-26-falcon-street-crows-nest-nsw-2065/2025204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2025-03-25T11:52:18+11:00</dcterms:created>
  <dc:creator>CoreLogic RP Data</dc:creator>
</cp:coreProperties>
</file>